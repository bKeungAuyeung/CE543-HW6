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<sst xmlns="http://schemas.openxmlformats.org/spreadsheetml/2006/main" count="51" uniqueCount="28">
  <si>
    <t xml:space="preserve">gamma_clay</t>
  </si>
  <si>
    <t xml:space="preserve">gwt</t>
  </si>
  <si>
    <t xml:space="preserve">gamma_sand</t>
  </si>
  <si>
    <t xml:space="preserve">end of clay</t>
  </si>
  <si>
    <t xml:space="preserve">gamma_w</t>
  </si>
  <si>
    <t xml:space="preserve">Piezometer</t>
  </si>
  <si>
    <t xml:space="preserve">Depth, z [m]</t>
  </si>
  <si>
    <t xml:space="preserve">A</t>
  </si>
  <si>
    <t xml:space="preserve">B</t>
  </si>
  <si>
    <t xml:space="preserve">tvStress</t>
  </si>
  <si>
    <t xml:space="preserve">u0</t>
  </si>
  <si>
    <t xml:space="preserve">veStress, pre</t>
  </si>
  <si>
    <t xml:space="preserve">veStress, post</t>
  </si>
  <si>
    <t xml:space="preserve">deltau</t>
  </si>
  <si>
    <t xml:space="preserve">uf</t>
  </si>
  <si>
    <t xml:space="preserve">confirm</t>
  </si>
  <si>
    <t xml:space="preserve">|</t>
  </si>
  <si>
    <t xml:space="preserve">GWT = 2 m</t>
  </si>
  <si>
    <t xml:space="preserve">Clay</t>
  </si>
  <si>
    <r>
      <rPr>
        <sz val="10"/>
        <rFont val="Arial"/>
        <family val="2"/>
        <charset val="1"/>
      </rPr>
      <t xml:space="preserve">γ = 18 kNm</t>
    </r>
    <r>
      <rPr>
        <vertAlign val="superscript"/>
        <sz val="10"/>
        <rFont val="Arial"/>
        <family val="2"/>
        <charset val="1"/>
      </rPr>
      <t xml:space="preserve">-3</t>
    </r>
  </si>
  <si>
    <t xml:space="preserve">start of gwt</t>
  </si>
  <si>
    <t xml:space="preserve">A = 4 m</t>
  </si>
  <si>
    <t xml:space="preserve">Sand</t>
  </si>
  <si>
    <r>
      <rPr>
        <sz val="10"/>
        <rFont val="Arial"/>
        <family val="2"/>
        <charset val="1"/>
      </rPr>
      <t xml:space="preserve">γ = 20 kNm</t>
    </r>
    <r>
      <rPr>
        <vertAlign val="superscript"/>
        <sz val="10"/>
        <rFont val="Arial"/>
        <family val="2"/>
        <charset val="1"/>
      </rPr>
      <t xml:space="preserve">-3</t>
    </r>
  </si>
  <si>
    <r>
      <rPr>
        <sz val="10"/>
        <rFont val="Arial"/>
        <family val="2"/>
        <charset val="1"/>
      </rPr>
      <t xml:space="preserve">K</t>
    </r>
    <r>
      <rPr>
        <vertAlign val="subscript"/>
        <sz val="10"/>
        <rFont val="Arial"/>
        <family val="2"/>
        <charset val="1"/>
      </rPr>
      <t xml:space="preserve">0</t>
    </r>
    <r>
      <rPr>
        <sz val="10"/>
        <rFont val="Arial"/>
        <family val="2"/>
        <charset val="1"/>
      </rPr>
      <t xml:space="preserve"> = 0.5</t>
    </r>
  </si>
  <si>
    <t xml:space="preserve">B = 10 m</t>
  </si>
  <si>
    <t xml:space="preserve">end of calcs</t>
  </si>
  <si>
    <t xml:space="preserve">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</si>
</sst>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0"/>
      <name val="Arial"/>
      <family val="2"/>
      <charset val="1"/>
    </font>
    <font>
      <vertAlign val="subscript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3" tint="0.5"/>
        <bgColor rgb="FF969696"/>
      </patternFill>
    </fill>
    <fill>
      <patternFill patternType="solid">
        <fgColor theme="8" tint="0.8"/>
        <bgColor rgb="FFFFFF99"/>
      </patternFill>
    </fill>
    <fill>
      <patternFill patternType="solid">
        <fgColor theme="7" tint="0.8"/>
        <bgColor rgb="FFDEC5F4"/>
      </patternFill>
    </fill>
    <fill>
      <patternFill patternType="solid">
        <fgColor theme="11" tint="0.8"/>
        <bgColor rgb="FFF5BBFE"/>
      </patternFill>
    </fill>
  </fills>
  <borders count="3">
    <border diagonalUp="false" diagonalDown="false">
      <left/>
      <right/>
      <top/>
      <bottom/>
      <diagonal/>
    </border>
    <border diagonalUp="true" diagonalDown="true">
      <left/>
      <right/>
      <top/>
      <bottom/>
      <diagonal style="hair"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C1"/>
      <rgbColor rgb="FFCCFFFF"/>
      <rgbColor rgb="FF660066"/>
      <rgbColor rgb="FFFF8080"/>
      <rgbColor rgb="FF0066CC"/>
      <rgbColor rgb="FFDEC5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5BBFE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V29"/>
  <sheetViews>
    <sheetView showFormulas="false" showGridLines="fals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S23" activeCellId="0" sqref="S2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8" min="18" style="1" width="13.27"/>
  </cols>
  <sheetData>
    <row r="2" customFormat="false" ht="12.8" hidden="false" customHeight="false" outlineLevel="0" collapsed="false">
      <c r="O2" s="1" t="s">
        <v>0</v>
      </c>
      <c r="P2" s="1" t="n">
        <v>18</v>
      </c>
      <c r="R2" s="1" t="s">
        <v>1</v>
      </c>
      <c r="S2" s="1" t="n">
        <v>2</v>
      </c>
    </row>
    <row r="3" customFormat="false" ht="12.8" hidden="false" customHeight="false" outlineLevel="0" collapsed="false">
      <c r="O3" s="1" t="s">
        <v>2</v>
      </c>
      <c r="P3" s="1" t="n">
        <v>20</v>
      </c>
      <c r="R3" s="1" t="s">
        <v>3</v>
      </c>
      <c r="S3" s="1" t="n">
        <v>3</v>
      </c>
    </row>
    <row r="4" customFormat="false" ht="12.8" hidden="false" customHeight="false" outlineLevel="0" collapsed="false">
      <c r="O4" s="1" t="s">
        <v>4</v>
      </c>
      <c r="P4" s="1" t="n">
        <v>9.81</v>
      </c>
    </row>
    <row r="6" customFormat="false" ht="12.8" hidden="false" customHeight="false" outlineLevel="0" collapsed="false">
      <c r="G6" s="2"/>
      <c r="H6" s="2" t="s">
        <v>5</v>
      </c>
      <c r="I6" s="2"/>
      <c r="J6" s="2" t="s">
        <v>5</v>
      </c>
      <c r="K6" s="2"/>
      <c r="L6" s="2"/>
    </row>
    <row r="7" customFormat="false" ht="12.8" hidden="false" customHeight="false" outlineLevel="0" collapsed="false">
      <c r="F7" s="3" t="s">
        <v>6</v>
      </c>
      <c r="G7" s="2"/>
      <c r="H7" s="2" t="s">
        <v>7</v>
      </c>
      <c r="I7" s="2"/>
      <c r="J7" s="2" t="s">
        <v>8</v>
      </c>
      <c r="K7" s="2"/>
      <c r="L7" s="2"/>
      <c r="O7" s="1" t="s">
        <v>9</v>
      </c>
      <c r="P7" s="1" t="s">
        <v>10</v>
      </c>
      <c r="Q7" s="1" t="s">
        <v>11</v>
      </c>
      <c r="R7" s="1" t="s">
        <v>12</v>
      </c>
      <c r="S7" s="1" t="s">
        <v>13</v>
      </c>
      <c r="T7" s="1" t="s">
        <v>14</v>
      </c>
      <c r="U7" s="1" t="s">
        <v>15</v>
      </c>
    </row>
    <row r="8" customFormat="false" ht="12.8" hidden="false" customHeight="false" outlineLevel="0" collapsed="false">
      <c r="F8" s="3" t="n">
        <v>0</v>
      </c>
      <c r="G8" s="4"/>
      <c r="H8" s="4" t="s">
        <v>16</v>
      </c>
      <c r="I8" s="4"/>
      <c r="J8" s="4" t="s">
        <v>16</v>
      </c>
      <c r="K8" s="4"/>
      <c r="L8" s="4"/>
      <c r="O8" s="1" t="n">
        <f aca="false">$P$2*F8</f>
        <v>0</v>
      </c>
      <c r="P8" s="1" t="n">
        <f aca="false">0</f>
        <v>0</v>
      </c>
      <c r="Q8" s="1" t="n">
        <f aca="false">O8-P8</f>
        <v>0</v>
      </c>
      <c r="R8" s="1" t="n">
        <f aca="false">Q8</f>
        <v>0</v>
      </c>
      <c r="S8" s="1" t="n">
        <f aca="false">P8</f>
        <v>0</v>
      </c>
      <c r="T8" s="1" t="n">
        <f aca="false">P8+S8</f>
        <v>0</v>
      </c>
      <c r="U8" s="1" t="n">
        <f aca="false">Q8-T8</f>
        <v>0</v>
      </c>
      <c r="V8" s="1" t="b">
        <f aca="false">U8=R8</f>
        <v>1</v>
      </c>
    </row>
    <row r="9" customFormat="false" ht="12.8" hidden="false" customHeight="false" outlineLevel="0" collapsed="false">
      <c r="F9" s="3" t="n">
        <v>1</v>
      </c>
      <c r="G9" s="4"/>
      <c r="H9" s="4" t="s">
        <v>16</v>
      </c>
      <c r="I9" s="4"/>
      <c r="J9" s="4" t="s">
        <v>16</v>
      </c>
      <c r="K9" s="4"/>
      <c r="L9" s="4"/>
      <c r="M9" s="1" t="s">
        <v>17</v>
      </c>
      <c r="O9" s="1" t="n">
        <f aca="false">$P$2*F9</f>
        <v>18</v>
      </c>
      <c r="P9" s="1" t="n">
        <f aca="false">0</f>
        <v>0</v>
      </c>
      <c r="Q9" s="1" t="n">
        <f aca="false">O9-P9</f>
        <v>18</v>
      </c>
      <c r="R9" s="1" t="n">
        <f aca="false">Q9</f>
        <v>18</v>
      </c>
      <c r="S9" s="1" t="n">
        <f aca="false">P9</f>
        <v>0</v>
      </c>
      <c r="T9" s="1" t="n">
        <f aca="false">P9+S9</f>
        <v>0</v>
      </c>
      <c r="U9" s="1" t="n">
        <f aca="false">O9-T9</f>
        <v>18</v>
      </c>
      <c r="V9" s="1" t="n">
        <f aca="false">U9=R9</f>
        <v>1</v>
      </c>
    </row>
    <row r="10" customFormat="false" ht="12.8" hidden="false" customHeight="false" outlineLevel="0" collapsed="false">
      <c r="F10" s="3" t="n">
        <v>2</v>
      </c>
      <c r="G10" s="5"/>
      <c r="H10" s="5" t="s">
        <v>16</v>
      </c>
      <c r="I10" s="5"/>
      <c r="J10" s="5" t="s">
        <v>16</v>
      </c>
      <c r="K10" s="5" t="s">
        <v>18</v>
      </c>
      <c r="L10" s="5" t="s">
        <v>19</v>
      </c>
      <c r="N10" s="1" t="s">
        <v>20</v>
      </c>
      <c r="O10" s="1" t="n">
        <f aca="false">$P$2*F10</f>
        <v>36</v>
      </c>
      <c r="P10" s="1" t="n">
        <f aca="false">0</f>
        <v>0</v>
      </c>
      <c r="Q10" s="1" t="n">
        <f aca="false">O10-P10</f>
        <v>36</v>
      </c>
      <c r="R10" s="1" t="n">
        <f aca="false">Q10</f>
        <v>36</v>
      </c>
      <c r="S10" s="1" t="n">
        <f aca="false">P10</f>
        <v>0</v>
      </c>
      <c r="T10" s="1" t="n">
        <f aca="false">P10+S10</f>
        <v>0</v>
      </c>
      <c r="U10" s="1" t="n">
        <f aca="false">O10-T10</f>
        <v>36</v>
      </c>
      <c r="V10" s="1" t="n">
        <f aca="false">U10=R10</f>
        <v>1</v>
      </c>
    </row>
    <row r="11" customFormat="false" ht="12.8" hidden="false" customHeight="false" outlineLevel="0" collapsed="false">
      <c r="F11" s="3" t="n">
        <v>3</v>
      </c>
      <c r="G11" s="6"/>
      <c r="H11" s="6" t="s">
        <v>16</v>
      </c>
      <c r="I11" s="6"/>
      <c r="J11" s="6" t="s">
        <v>16</v>
      </c>
      <c r="K11" s="6"/>
      <c r="L11" s="6"/>
      <c r="M11" s="1" t="s">
        <v>21</v>
      </c>
      <c r="N11" s="1" t="s">
        <v>3</v>
      </c>
      <c r="O11" s="1" t="n">
        <f aca="false">$P$2*F11</f>
        <v>54</v>
      </c>
      <c r="P11" s="1" t="n">
        <f aca="false">$P$4*(F11-$S$2)</f>
        <v>9.81</v>
      </c>
      <c r="Q11" s="1" t="n">
        <f aca="false">O11-P11</f>
        <v>44.19</v>
      </c>
      <c r="R11" s="1" t="n">
        <f aca="false">Q11</f>
        <v>44.19</v>
      </c>
      <c r="S11" s="1" t="n">
        <v>0</v>
      </c>
      <c r="T11" s="1" t="n">
        <f aca="false">P11+S11</f>
        <v>9.81</v>
      </c>
      <c r="U11" s="1" t="n">
        <f aca="false">O11-T11</f>
        <v>44.19</v>
      </c>
      <c r="V11" s="1" t="n">
        <f aca="false">U11=R11</f>
        <v>1</v>
      </c>
    </row>
    <row r="12" customFormat="false" ht="12.8" hidden="false" customHeight="false" outlineLevel="0" collapsed="false">
      <c r="F12" s="1" t="n">
        <v>3</v>
      </c>
      <c r="G12" s="6"/>
      <c r="H12" s="6"/>
      <c r="I12" s="6"/>
      <c r="J12" s="6" t="s">
        <v>16</v>
      </c>
      <c r="K12" s="6"/>
      <c r="L12" s="6"/>
      <c r="N12" s="7" t="s">
        <v>7</v>
      </c>
      <c r="O12" s="1" t="n">
        <f aca="false">$P$2*F12</f>
        <v>54</v>
      </c>
      <c r="P12" s="1" t="n">
        <f aca="false">$P$4*(F12-$S$2)</f>
        <v>9.81</v>
      </c>
      <c r="Q12" s="1" t="n">
        <f aca="false">O12-P12</f>
        <v>44.19</v>
      </c>
      <c r="R12" s="1" t="n">
        <v>0</v>
      </c>
      <c r="S12" s="1" t="n">
        <f aca="false">Q12</f>
        <v>44.19</v>
      </c>
      <c r="T12" s="1" t="n">
        <f aca="false">P12+S12</f>
        <v>54</v>
      </c>
      <c r="U12" s="1" t="n">
        <f aca="false">O12-T12</f>
        <v>0</v>
      </c>
      <c r="V12" s="1" t="b">
        <f aca="false">U12=R12</f>
        <v>1</v>
      </c>
    </row>
    <row r="13" customFormat="false" ht="12.8" hidden="false" customHeight="false" outlineLevel="0" collapsed="false">
      <c r="F13" s="3" t="n">
        <v>4</v>
      </c>
      <c r="G13" s="6"/>
      <c r="H13" s="6"/>
      <c r="I13" s="6"/>
      <c r="J13" s="6" t="s">
        <v>16</v>
      </c>
      <c r="K13" s="6" t="s">
        <v>22</v>
      </c>
      <c r="L13" s="6"/>
      <c r="O13" s="1" t="n">
        <f aca="false">$O$12+$P$3*(F13-$S$3)</f>
        <v>74</v>
      </c>
      <c r="P13" s="1" t="n">
        <f aca="false">$P$4*(F13-$S$2)</f>
        <v>19.62</v>
      </c>
      <c r="Q13" s="1" t="n">
        <f aca="false">O13-P13</f>
        <v>54.38</v>
      </c>
      <c r="R13" s="1" t="n">
        <v>0</v>
      </c>
      <c r="S13" s="1" t="n">
        <f aca="false">Q13</f>
        <v>54.38</v>
      </c>
      <c r="T13" s="1" t="n">
        <f aca="false">P13+S13</f>
        <v>74</v>
      </c>
      <c r="U13" s="1" t="n">
        <f aca="false">O13-T13</f>
        <v>0</v>
      </c>
      <c r="V13" s="1" t="b">
        <f aca="false">U13=R13</f>
        <v>1</v>
      </c>
    </row>
    <row r="14" customFormat="false" ht="12.8" hidden="false" customHeight="false" outlineLevel="0" collapsed="false">
      <c r="F14" s="3" t="n">
        <v>5</v>
      </c>
      <c r="G14" s="6"/>
      <c r="H14" s="6"/>
      <c r="I14" s="6"/>
      <c r="J14" s="6" t="s">
        <v>16</v>
      </c>
      <c r="K14" s="6" t="s">
        <v>23</v>
      </c>
      <c r="L14" s="6"/>
      <c r="O14" s="1" t="n">
        <f aca="false">$O$12+$P$3*(F14-$S$3)</f>
        <v>94</v>
      </c>
      <c r="P14" s="1" t="n">
        <f aca="false">$P$4*(F14-$S$2)</f>
        <v>29.43</v>
      </c>
      <c r="Q14" s="1" t="n">
        <f aca="false">O14-P14</f>
        <v>64.57</v>
      </c>
      <c r="R14" s="1" t="n">
        <v>0</v>
      </c>
      <c r="S14" s="1" t="n">
        <f aca="false">Q14</f>
        <v>64.57</v>
      </c>
      <c r="T14" s="1" t="n">
        <f aca="false">P14+S14</f>
        <v>94</v>
      </c>
      <c r="U14" s="1" t="n">
        <f aca="false">O14-T14</f>
        <v>0</v>
      </c>
      <c r="V14" s="1" t="b">
        <f aca="false">U14=R14</f>
        <v>1</v>
      </c>
    </row>
    <row r="15" customFormat="false" ht="12.8" hidden="false" customHeight="false" outlineLevel="0" collapsed="false">
      <c r="F15" s="3" t="n">
        <v>6</v>
      </c>
      <c r="G15" s="6"/>
      <c r="H15" s="6"/>
      <c r="I15" s="6"/>
      <c r="J15" s="6" t="s">
        <v>16</v>
      </c>
      <c r="K15" s="6" t="s">
        <v>24</v>
      </c>
      <c r="L15" s="6"/>
      <c r="O15" s="1" t="n">
        <f aca="false">$O$12+$P$3*(F15-$S$3)</f>
        <v>114</v>
      </c>
      <c r="P15" s="1" t="n">
        <f aca="false">$P$4*(F15-$S$2)</f>
        <v>39.24</v>
      </c>
      <c r="Q15" s="1" t="n">
        <f aca="false">O15-P15</f>
        <v>74.76</v>
      </c>
      <c r="R15" s="1" t="n">
        <v>0</v>
      </c>
      <c r="S15" s="1" t="n">
        <f aca="false">Q15</f>
        <v>74.76</v>
      </c>
      <c r="T15" s="1" t="n">
        <f aca="false">P15+S15</f>
        <v>114</v>
      </c>
      <c r="U15" s="1" t="n">
        <f aca="false">O15-T15</f>
        <v>0</v>
      </c>
      <c r="V15" s="1" t="b">
        <f aca="false">U15=R15</f>
        <v>1</v>
      </c>
    </row>
    <row r="16" customFormat="false" ht="12.8" hidden="false" customHeight="false" outlineLevel="0" collapsed="false">
      <c r="F16" s="3" t="n">
        <v>7</v>
      </c>
      <c r="G16" s="6"/>
      <c r="H16" s="6"/>
      <c r="I16" s="6"/>
      <c r="J16" s="6" t="s">
        <v>16</v>
      </c>
      <c r="K16" s="6"/>
      <c r="L16" s="6"/>
      <c r="O16" s="1" t="n">
        <f aca="false">$O$12+$P$3*(F16-$S$3)</f>
        <v>134</v>
      </c>
      <c r="P16" s="1" t="n">
        <f aca="false">$P$4*(F16-$S$2)</f>
        <v>49.05</v>
      </c>
      <c r="Q16" s="1" t="n">
        <f aca="false">O16-P16</f>
        <v>84.95</v>
      </c>
      <c r="R16" s="1" t="n">
        <v>0</v>
      </c>
      <c r="S16" s="1" t="n">
        <f aca="false">Q16</f>
        <v>84.95</v>
      </c>
      <c r="T16" s="1" t="n">
        <f aca="false">P16+S16</f>
        <v>134</v>
      </c>
      <c r="U16" s="1" t="n">
        <f aca="false">O16-T16</f>
        <v>0</v>
      </c>
      <c r="V16" s="1" t="b">
        <f aca="false">U16=R16</f>
        <v>1</v>
      </c>
    </row>
    <row r="17" customFormat="false" ht="12.8" hidden="false" customHeight="false" outlineLevel="0" collapsed="false">
      <c r="F17" s="3" t="n">
        <v>8</v>
      </c>
      <c r="G17" s="6"/>
      <c r="H17" s="6"/>
      <c r="I17" s="6"/>
      <c r="J17" s="6" t="s">
        <v>16</v>
      </c>
      <c r="K17" s="6"/>
      <c r="L17" s="6"/>
      <c r="M17" s="1" t="s">
        <v>25</v>
      </c>
      <c r="O17" s="1" t="n">
        <f aca="false">$O$12+$P$3*(F17-$S$3)</f>
        <v>154</v>
      </c>
      <c r="P17" s="1" t="n">
        <f aca="false">$P$4*(F17-$S$2)</f>
        <v>58.86</v>
      </c>
      <c r="Q17" s="1" t="n">
        <f aca="false">O17-P17</f>
        <v>95.14</v>
      </c>
      <c r="R17" s="1" t="n">
        <v>0</v>
      </c>
      <c r="S17" s="1" t="n">
        <f aca="false">Q17</f>
        <v>95.14</v>
      </c>
      <c r="T17" s="1" t="n">
        <f aca="false">P17+S17</f>
        <v>154</v>
      </c>
      <c r="U17" s="1" t="n">
        <f aca="false">O17-T17</f>
        <v>0</v>
      </c>
      <c r="V17" s="1" t="b">
        <f aca="false">U17=R17</f>
        <v>1</v>
      </c>
    </row>
    <row r="18" customFormat="false" ht="12.8" hidden="false" customHeight="false" outlineLevel="0" collapsed="false">
      <c r="F18" s="3" t="n">
        <v>9</v>
      </c>
      <c r="G18" s="8"/>
      <c r="H18" s="8"/>
      <c r="I18" s="8"/>
      <c r="J18" s="8"/>
      <c r="K18" s="8"/>
      <c r="L18" s="8"/>
      <c r="N18" s="9" t="s">
        <v>8</v>
      </c>
      <c r="O18" s="1" t="n">
        <f aca="false">$O$12+$P$3*(F18-$S$3)</f>
        <v>174</v>
      </c>
      <c r="P18" s="1" t="n">
        <f aca="false">$P$4*(F18-$S$2)</f>
        <v>68.67</v>
      </c>
      <c r="Q18" s="1" t="n">
        <f aca="false">O18-P18</f>
        <v>105.33</v>
      </c>
      <c r="R18" s="1" t="n">
        <v>0</v>
      </c>
      <c r="S18" s="1" t="n">
        <f aca="false">Q18</f>
        <v>105.33</v>
      </c>
      <c r="T18" s="1" t="n">
        <f aca="false">P18+S18</f>
        <v>174</v>
      </c>
      <c r="U18" s="1" t="n">
        <f aca="false">O18-T18</f>
        <v>0</v>
      </c>
      <c r="V18" s="1" t="b">
        <f aca="false">U18=R18</f>
        <v>1</v>
      </c>
    </row>
    <row r="19" customFormat="false" ht="12.8" hidden="false" customHeight="false" outlineLevel="0" collapsed="false">
      <c r="F19" s="3" t="n">
        <v>10</v>
      </c>
      <c r="G19" s="10"/>
      <c r="H19" s="10"/>
      <c r="I19" s="10"/>
      <c r="J19" s="10"/>
      <c r="K19" s="10"/>
      <c r="L19" s="10"/>
      <c r="N19" s="11" t="s">
        <v>26</v>
      </c>
      <c r="O19" s="1" t="n">
        <f aca="false">$O$12+$P$3*(F19-$S$3)</f>
        <v>194</v>
      </c>
      <c r="P19" s="1" t="n">
        <f aca="false">$P$4*(F19-$S$2)</f>
        <v>78.48</v>
      </c>
      <c r="Q19" s="1" t="n">
        <f aca="false">O19-P19</f>
        <v>115.52</v>
      </c>
      <c r="R19" s="1" t="n">
        <v>0</v>
      </c>
      <c r="S19" s="1" t="n">
        <f aca="false">Q19</f>
        <v>115.52</v>
      </c>
      <c r="T19" s="1" t="n">
        <f aca="false">P19+S19</f>
        <v>194</v>
      </c>
      <c r="U19" s="1" t="n">
        <f aca="false">O19-T19</f>
        <v>0</v>
      </c>
      <c r="V19" s="1" t="b">
        <f aca="false">U19=R19</f>
        <v>1</v>
      </c>
    </row>
    <row r="20" customFormat="false" ht="12.8" hidden="false" customHeight="false" outlineLevel="0" collapsed="false">
      <c r="F20" s="3" t="n">
        <v>11</v>
      </c>
      <c r="G20" s="10"/>
      <c r="H20" s="10"/>
      <c r="I20" s="10"/>
      <c r="J20" s="10"/>
      <c r="K20" s="10"/>
      <c r="L20" s="10"/>
      <c r="O20" s="1" t="n">
        <f aca="false">$O$12+$P$3*(F20-$S$3)</f>
        <v>214</v>
      </c>
      <c r="P20" s="1" t="n">
        <f aca="false">$P$4*(F20-$S$2)</f>
        <v>88.29</v>
      </c>
      <c r="Q20" s="1" t="n">
        <f aca="false">O20-P20</f>
        <v>125.71</v>
      </c>
      <c r="R20" s="1" t="n">
        <v>0</v>
      </c>
      <c r="S20" s="1" t="n">
        <f aca="false">Q20</f>
        <v>125.71</v>
      </c>
      <c r="T20" s="1" t="n">
        <f aca="false">P20+S20</f>
        <v>214</v>
      </c>
      <c r="U20" s="1" t="n">
        <f aca="false">O20-T20</f>
        <v>0</v>
      </c>
      <c r="V20" s="1" t="b">
        <f aca="false">U20=R20</f>
        <v>1</v>
      </c>
    </row>
    <row r="21" customFormat="false" ht="12.8" hidden="false" customHeight="false" outlineLevel="0" collapsed="false">
      <c r="F21" s="3"/>
      <c r="G21" s="10"/>
      <c r="H21" s="10"/>
      <c r="I21" s="10"/>
      <c r="J21" s="10"/>
      <c r="K21" s="10"/>
      <c r="L21" s="10"/>
    </row>
    <row r="22" customFormat="false" ht="12.8" hidden="false" customHeight="false" outlineLevel="0" collapsed="false">
      <c r="F22" s="3"/>
      <c r="G22" s="10"/>
      <c r="H22" s="10"/>
      <c r="I22" s="10"/>
      <c r="J22" s="10"/>
      <c r="K22" s="10"/>
      <c r="L22" s="10"/>
    </row>
    <row r="23" customFormat="false" ht="12.8" hidden="false" customHeight="false" outlineLevel="0" collapsed="false">
      <c r="F23" s="3"/>
      <c r="G23" s="10"/>
      <c r="H23" s="10"/>
      <c r="I23" s="10"/>
      <c r="J23" s="10"/>
      <c r="K23" s="10"/>
      <c r="L23" s="10"/>
    </row>
    <row r="24" customFormat="false" ht="12.8" hidden="false" customHeight="false" outlineLevel="0" collapsed="false">
      <c r="F24" s="3"/>
      <c r="G24" s="10"/>
      <c r="H24" s="10"/>
      <c r="I24" s="10"/>
      <c r="J24" s="10"/>
      <c r="K24" s="10"/>
      <c r="L24" s="10"/>
    </row>
    <row r="25" customFormat="false" ht="12.8" hidden="false" customHeight="false" outlineLevel="0" collapsed="false">
      <c r="A25" s="3"/>
      <c r="F25" s="3"/>
      <c r="G25" s="10"/>
      <c r="H25" s="10"/>
      <c r="I25" s="10"/>
      <c r="J25" s="10"/>
      <c r="K25" s="10"/>
      <c r="L25" s="10"/>
    </row>
    <row r="26" customFormat="false" ht="12.8" hidden="false" customHeight="false" outlineLevel="0" collapsed="false">
      <c r="F26" s="3"/>
      <c r="G26" s="10"/>
      <c r="H26" s="10"/>
      <c r="I26" s="10"/>
      <c r="J26" s="10"/>
      <c r="K26" s="10"/>
      <c r="L26" s="10"/>
    </row>
    <row r="27" customFormat="false" ht="12.8" hidden="false" customHeight="false" outlineLevel="0" collapsed="false">
      <c r="F27" s="3"/>
      <c r="G27" s="10"/>
      <c r="H27" s="10"/>
      <c r="I27" s="10"/>
      <c r="J27" s="10"/>
      <c r="K27" s="10"/>
      <c r="L27" s="10"/>
    </row>
    <row r="28" customFormat="false" ht="12.8" hidden="false" customHeight="false" outlineLevel="0" collapsed="false">
      <c r="F28" s="3"/>
      <c r="G28" s="10"/>
      <c r="H28" s="10"/>
      <c r="I28" s="10"/>
      <c r="J28" s="10"/>
      <c r="K28" s="10"/>
      <c r="L28" s="10"/>
    </row>
    <row r="29" customFormat="false" ht="12.8" hidden="false" customHeight="false" outlineLevel="0" collapsed="false">
      <c r="F29" s="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27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12</v>
      </c>
    </row>
    <row r="2" customFormat="false" ht="12.8" hidden="false" customHeight="false" outlineLevel="0" collapsed="false">
      <c r="A2" s="1" t="n">
        <f aca="false">Sheet1!F8</f>
        <v>0</v>
      </c>
      <c r="B2" s="12" t="n">
        <f aca="false">ROUND(Sheet1!O8,2)</f>
        <v>0</v>
      </c>
      <c r="C2" s="12" t="n">
        <f aca="false">Sheet1!P8</f>
        <v>0</v>
      </c>
      <c r="D2" s="12" t="n">
        <f aca="false">ROUND(Sheet1!Q8,2)</f>
        <v>0</v>
      </c>
      <c r="E2" s="12" t="n">
        <f aca="false">Sheet1!S8</f>
        <v>0</v>
      </c>
      <c r="F2" s="12" t="n">
        <f aca="false">Sheet1!T8</f>
        <v>0</v>
      </c>
      <c r="G2" s="12" t="n">
        <f aca="false">Sheet1!U8</f>
        <v>0</v>
      </c>
    </row>
    <row r="3" customFormat="false" ht="12.8" hidden="false" customHeight="false" outlineLevel="0" collapsed="false">
      <c r="A3" s="1" t="n">
        <f aca="false">Sheet1!F9</f>
        <v>1</v>
      </c>
      <c r="B3" s="12" t="n">
        <f aca="false">ROUND(Sheet1!O9,2)</f>
        <v>18</v>
      </c>
      <c r="C3" s="12" t="n">
        <f aca="false">Sheet1!P9</f>
        <v>0</v>
      </c>
      <c r="D3" s="12" t="n">
        <f aca="false">ROUND(Sheet1!Q9,2)</f>
        <v>18</v>
      </c>
      <c r="E3" s="12" t="n">
        <f aca="false">Sheet1!S9</f>
        <v>0</v>
      </c>
      <c r="F3" s="12" t="n">
        <f aca="false">Sheet1!T9</f>
        <v>0</v>
      </c>
      <c r="G3" s="12" t="n">
        <f aca="false">Sheet1!U9</f>
        <v>18</v>
      </c>
    </row>
    <row r="4" customFormat="false" ht="12.8" hidden="false" customHeight="false" outlineLevel="0" collapsed="false">
      <c r="A4" s="1" t="n">
        <f aca="false">Sheet1!F10</f>
        <v>2</v>
      </c>
      <c r="B4" s="12" t="n">
        <f aca="false">ROUND(Sheet1!O10,2)</f>
        <v>36</v>
      </c>
      <c r="C4" s="12" t="n">
        <f aca="false">Sheet1!P10</f>
        <v>0</v>
      </c>
      <c r="D4" s="12" t="n">
        <f aca="false">ROUND(Sheet1!Q10,2)</f>
        <v>36</v>
      </c>
      <c r="E4" s="12" t="n">
        <f aca="false">Sheet1!S10</f>
        <v>0</v>
      </c>
      <c r="F4" s="12" t="n">
        <f aca="false">Sheet1!T10</f>
        <v>0</v>
      </c>
      <c r="G4" s="12" t="n">
        <f aca="false">Sheet1!U10</f>
        <v>36</v>
      </c>
    </row>
    <row r="5" customFormat="false" ht="12.8" hidden="false" customHeight="false" outlineLevel="0" collapsed="false">
      <c r="A5" s="1" t="n">
        <f aca="false">Sheet1!F11</f>
        <v>3</v>
      </c>
      <c r="B5" s="12" t="n">
        <f aca="false">ROUND(Sheet1!O11,2)</f>
        <v>54</v>
      </c>
      <c r="C5" s="12" t="n">
        <f aca="false">Sheet1!P11</f>
        <v>9.81</v>
      </c>
      <c r="D5" s="12" t="n">
        <f aca="false">ROUND(Sheet1!Q11,2)</f>
        <v>44.19</v>
      </c>
      <c r="E5" s="12" t="n">
        <f aca="false">Sheet1!S11</f>
        <v>0</v>
      </c>
      <c r="F5" s="12" t="n">
        <f aca="false">Sheet1!T11</f>
        <v>9.81</v>
      </c>
      <c r="G5" s="12" t="n">
        <f aca="false">Sheet1!U11</f>
        <v>44.19</v>
      </c>
    </row>
    <row r="6" customFormat="false" ht="12.8" hidden="false" customHeight="false" outlineLevel="0" collapsed="false">
      <c r="A6" s="1" t="n">
        <f aca="false">Sheet1!F12</f>
        <v>3</v>
      </c>
      <c r="B6" s="12" t="n">
        <f aca="false">ROUND(Sheet1!O12,2)</f>
        <v>54</v>
      </c>
      <c r="C6" s="12" t="n">
        <f aca="false">Sheet1!P12</f>
        <v>9.81</v>
      </c>
      <c r="D6" s="12" t="n">
        <f aca="false">ROUND(Sheet1!Q12,2)</f>
        <v>44.19</v>
      </c>
      <c r="E6" s="12" t="n">
        <f aca="false">Sheet1!S12</f>
        <v>44.19</v>
      </c>
      <c r="F6" s="12" t="n">
        <f aca="false">Sheet1!T12</f>
        <v>54</v>
      </c>
      <c r="G6" s="12" t="n">
        <f aca="false">Sheet1!U12</f>
        <v>0</v>
      </c>
    </row>
    <row r="7" customFormat="false" ht="12.8" hidden="false" customHeight="false" outlineLevel="0" collapsed="false">
      <c r="A7" s="1" t="n">
        <f aca="false">Sheet1!F13</f>
        <v>4</v>
      </c>
      <c r="B7" s="12" t="n">
        <f aca="false">ROUND(Sheet1!O13,2)</f>
        <v>74</v>
      </c>
      <c r="C7" s="12" t="n">
        <f aca="false">Sheet1!P13</f>
        <v>19.62</v>
      </c>
      <c r="D7" s="12" t="n">
        <f aca="false">ROUND(Sheet1!Q13,2)</f>
        <v>54.38</v>
      </c>
      <c r="E7" s="12" t="n">
        <f aca="false">Sheet1!S13</f>
        <v>54.38</v>
      </c>
      <c r="F7" s="12" t="n">
        <f aca="false">Sheet1!T13</f>
        <v>74</v>
      </c>
      <c r="G7" s="12" t="n">
        <f aca="false">Sheet1!U13</f>
        <v>0</v>
      </c>
    </row>
    <row r="8" customFormat="false" ht="12.8" hidden="false" customHeight="false" outlineLevel="0" collapsed="false">
      <c r="A8" s="1" t="n">
        <f aca="false">Sheet1!F14</f>
        <v>5</v>
      </c>
      <c r="B8" s="12" t="n">
        <f aca="false">ROUND(Sheet1!O14,2)</f>
        <v>94</v>
      </c>
      <c r="C8" s="12" t="n">
        <f aca="false">Sheet1!P14</f>
        <v>29.43</v>
      </c>
      <c r="D8" s="12" t="n">
        <f aca="false">ROUND(Sheet1!Q14,2)</f>
        <v>64.57</v>
      </c>
      <c r="E8" s="12" t="n">
        <f aca="false">Sheet1!S14</f>
        <v>64.57</v>
      </c>
      <c r="F8" s="12" t="n">
        <f aca="false">Sheet1!T14</f>
        <v>94</v>
      </c>
      <c r="G8" s="12" t="n">
        <f aca="false">Sheet1!U14</f>
        <v>0</v>
      </c>
    </row>
    <row r="9" customFormat="false" ht="12.8" hidden="false" customHeight="false" outlineLevel="0" collapsed="false">
      <c r="A9" s="1" t="n">
        <f aca="false">Sheet1!F15</f>
        <v>6</v>
      </c>
      <c r="B9" s="12" t="n">
        <f aca="false">ROUND(Sheet1!O15,2)</f>
        <v>114</v>
      </c>
      <c r="C9" s="12" t="n">
        <f aca="false">Sheet1!P15</f>
        <v>39.24</v>
      </c>
      <c r="D9" s="12" t="n">
        <f aca="false">ROUND(Sheet1!Q15,2)</f>
        <v>74.76</v>
      </c>
      <c r="E9" s="12" t="n">
        <f aca="false">Sheet1!S15</f>
        <v>74.76</v>
      </c>
      <c r="F9" s="12" t="n">
        <f aca="false">Sheet1!T15</f>
        <v>114</v>
      </c>
      <c r="G9" s="12" t="n">
        <f aca="false">Sheet1!U15</f>
        <v>0</v>
      </c>
    </row>
    <row r="10" customFormat="false" ht="12.8" hidden="false" customHeight="false" outlineLevel="0" collapsed="false">
      <c r="A10" s="1" t="n">
        <f aca="false">Sheet1!F16</f>
        <v>7</v>
      </c>
      <c r="B10" s="12" t="n">
        <f aca="false">ROUND(Sheet1!O16,2)</f>
        <v>134</v>
      </c>
      <c r="C10" s="12" t="n">
        <f aca="false">Sheet1!P16</f>
        <v>49.05</v>
      </c>
      <c r="D10" s="12" t="n">
        <f aca="false">ROUND(Sheet1!Q16,2)</f>
        <v>84.95</v>
      </c>
      <c r="E10" s="12" t="n">
        <f aca="false">Sheet1!S16</f>
        <v>84.95</v>
      </c>
      <c r="F10" s="12" t="n">
        <f aca="false">Sheet1!T16</f>
        <v>134</v>
      </c>
      <c r="G10" s="12" t="n">
        <f aca="false">Sheet1!U16</f>
        <v>0</v>
      </c>
    </row>
    <row r="11" customFormat="false" ht="12.8" hidden="false" customHeight="false" outlineLevel="0" collapsed="false">
      <c r="A11" s="1" t="n">
        <f aca="false">Sheet1!F17</f>
        <v>8</v>
      </c>
      <c r="B11" s="12" t="n">
        <f aca="false">ROUND(Sheet1!O17,2)</f>
        <v>154</v>
      </c>
      <c r="C11" s="12" t="n">
        <f aca="false">Sheet1!P17</f>
        <v>58.86</v>
      </c>
      <c r="D11" s="12" t="n">
        <f aca="false">ROUND(Sheet1!Q17,2)</f>
        <v>95.14</v>
      </c>
      <c r="E11" s="12" t="n">
        <f aca="false">Sheet1!S17</f>
        <v>95.14</v>
      </c>
      <c r="F11" s="12" t="n">
        <f aca="false">Sheet1!T17</f>
        <v>154</v>
      </c>
      <c r="G11" s="12" t="n">
        <f aca="false">Sheet1!U17</f>
        <v>0</v>
      </c>
    </row>
    <row r="12" customFormat="false" ht="12.8" hidden="false" customHeight="false" outlineLevel="0" collapsed="false">
      <c r="A12" s="1" t="n">
        <f aca="false">Sheet1!F18</f>
        <v>9</v>
      </c>
      <c r="B12" s="12" t="n">
        <f aca="false">ROUND(Sheet1!O18,2)</f>
        <v>174</v>
      </c>
      <c r="C12" s="12" t="n">
        <f aca="false">Sheet1!P18</f>
        <v>68.67</v>
      </c>
      <c r="D12" s="12" t="n">
        <f aca="false">ROUND(Sheet1!Q18,2)</f>
        <v>105.33</v>
      </c>
      <c r="E12" s="12" t="n">
        <f aca="false">Sheet1!S18</f>
        <v>105.33</v>
      </c>
      <c r="F12" s="12" t="n">
        <f aca="false">Sheet1!T18</f>
        <v>174</v>
      </c>
      <c r="G12" s="12" t="n">
        <f aca="false">Sheet1!U18</f>
        <v>0</v>
      </c>
    </row>
    <row r="13" customFormat="false" ht="12.8" hidden="false" customHeight="false" outlineLevel="0" collapsed="false">
      <c r="A13" s="1" t="n">
        <f aca="false">Sheet1!F19</f>
        <v>10</v>
      </c>
      <c r="B13" s="12" t="n">
        <f aca="false">ROUND(Sheet1!O19,2)</f>
        <v>194</v>
      </c>
      <c r="C13" s="12" t="n">
        <f aca="false">Sheet1!P19</f>
        <v>78.48</v>
      </c>
      <c r="D13" s="12" t="n">
        <f aca="false">ROUND(Sheet1!Q19,2)</f>
        <v>115.52</v>
      </c>
      <c r="E13" s="12" t="n">
        <f aca="false">Sheet1!S19</f>
        <v>115.52</v>
      </c>
      <c r="F13" s="12" t="n">
        <f aca="false">Sheet1!T19</f>
        <v>194</v>
      </c>
      <c r="G13" s="12" t="n">
        <f aca="false">Sheet1!U19</f>
        <v>0</v>
      </c>
    </row>
    <row r="14" customFormat="false" ht="12.8" hidden="false" customHeight="false" outlineLevel="0" collapsed="false">
      <c r="A14" s="1" t="n">
        <f aca="false">Sheet1!F20</f>
        <v>11</v>
      </c>
      <c r="B14" s="12" t="n">
        <f aca="false">ROUND(Sheet1!O20,2)</f>
        <v>214</v>
      </c>
      <c r="C14" s="12" t="n">
        <f aca="false">Sheet1!P20</f>
        <v>88.29</v>
      </c>
      <c r="D14" s="12" t="n">
        <f aca="false">ROUND(Sheet1!Q20,2)</f>
        <v>125.71</v>
      </c>
      <c r="E14" s="12" t="n">
        <f aca="false">Sheet1!S20</f>
        <v>125.71</v>
      </c>
      <c r="F14" s="12" t="n">
        <f aca="false">Sheet1!T20</f>
        <v>214</v>
      </c>
      <c r="G14" s="12" t="n">
        <f aca="false">Sheet1!U20</f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2026-03-06T20:00:47Z</dcterms:created>
  <dc:creator/>
  <dc:description/>
  <dc:language>en-US</dc:language>
  <cp:lastModifiedBy/>
  <dcterms:modified xsi:type="dcterms:W3CDTF">2026-03-07T21:19:23Z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